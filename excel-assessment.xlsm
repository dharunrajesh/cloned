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JITHKUMAR\Desktop\dharun\"/>
    </mc:Choice>
  </mc:AlternateContent>
  <xr:revisionPtr revIDLastSave="0" documentId="13_ncr:1_{ADF2AF43-5318-4F38-B412-98BCB6DD3AA5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0" l="1"/>
  <c r="C26" i="20"/>
  <c r="C27" i="20"/>
  <c r="C28" i="20"/>
  <c r="C29" i="20"/>
  <c r="C30" i="20"/>
  <c r="C31" i="20"/>
  <c r="C32" i="20"/>
  <c r="C33" i="20"/>
  <c r="C34" i="20"/>
  <c r="C35" i="20"/>
  <c r="C24" i="20"/>
  <c r="C23" i="20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<sst xmlns="http://schemas.openxmlformats.org/spreadsheetml/2006/main" count="329" uniqueCount="184">
  <si>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</si>
  <si>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</si>
  <si>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</si>
  <si>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</si>
  <si>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</si>
  <si>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</si>
  <si>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</si>
  <si>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</si>
  <si>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</si>
  <si>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</si>
  <si>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</si>
  <si>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</si>
  <si>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</si>
  <si>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</si>
  <si>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</si>
  <si>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</si>
  <si>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</si>
  <si>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</si>
  <si>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</si>
  <si>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</si>
  <si>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</si>
  <si>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</si>
  <si>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</si>
  <si>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</si>
  <si>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</si>
  <si>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</si>
  <si>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</si>
  <si>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</si>
  <si>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</si>
  <si>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</si>
  <si>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</si>
  <si>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</si>
  <si>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</si>
  <si>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</si>
  <si>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</si>
  <si>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</si>
  <si>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</si>
  <si>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</si>
  <si>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</si>
  <si>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</si>
  <si>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</si>
  <si>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</si>
  <si>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</si>
  <si>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</si>
  <si>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</si>
  <si>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</si>
  <si>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</si>
  <si>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</si>
  <si>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</si>
  <si>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</si>
  <si>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</si>
  <si>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</si>
  <si>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</si>
  <si>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</si>
  <si>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</si>
  <si>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</si>
  <si>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</si>
  <si>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</si>
  <si>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</si>
  <si>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</si>
  <si>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</si>
  <si>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</si>
  <si>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</si>
  <si>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</si>
  <si>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</si>
  <si>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</si>
  <si>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</si>
  <si>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</si>
  <si>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</si>
  <si>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</si>
  <si>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</si>
  <si>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</si>
  <si>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</si>
  <si>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</si>
  <si>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</si>
  <si>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</si>
  <si>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</si>
  <si>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</si>
  <si>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</si>
  <si>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</si>
  <si>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</si>
  <si>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</si>
  <si>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</si>
  <si>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</si>
  <si>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</si>
  <si>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</si>
  <si>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</si>
  <si>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</si>
  <si>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</si>
  <si>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</si>
  <si>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</si>
  <si>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</si>
  <si>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</si>
  <si>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</si>
  <si>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</si>
  <si>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</si>
  <si>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</si>
  <si>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</si>
  <si>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</si>
  <si>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</si>
  <si>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</si>
  <si>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</si>
  <si>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</si>
  <si>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</si>
  <si>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</si>
  <si>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</si>
  <si>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</si>
  <si>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</si>
  <si>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</si>
  <si>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</si>
  <si>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</si>
  <si>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</si>
  <si>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</si>
  <si>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</si>
  <si>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</si>
  <si>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</si>
  <si>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</si>
  <si>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</si>
  <si>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</si>
  <si>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</si>
  <si>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</si>
  <si>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</si>
  <si>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</si>
  <si>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</si>
  <si>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</si>
  <si>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</si>
  <si>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</si>
  <si>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</si>
  <si>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</si>
  <si>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</si>
  <si>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</si>
  <si>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</si>
  <si>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</si>
  <si>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</si>
  <si>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</si>
  <si>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</si>
  <si>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</si>
  <si>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</si>
  <si>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</si>
  <si>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</si>
  <si>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</si>
  <si>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</si>
  <si>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</si>
  <si>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</si>
  <si>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</si>
  <si>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</si>
  <si>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</si>
  <si>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</si>
  <si>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</si>
  <si>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</si>
  <si>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</si>
  <si>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</si>
  <si>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</si>
  <si>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</si>
  <si>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</si>
  <si>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</si>
  <si>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</si>
  <si>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</si>
  <si>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</si>
  <si>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</si>
  <si>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</si>
  <si>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</si>
  <si>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</si>
  <si>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</si>
  <si>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</si>
  <si>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</si>
  <si>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</si>
  <si>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</si>
  <si>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</si>
  <si>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</si>
  <si>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</si>
  <si>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</si>
  <si>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</si>
  <si>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</si>
  <si>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</si>
  <si>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</si>
  <si>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</si>
  <si>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All 20 values must be substituted with the value '20'</t>
  </si>
  <si>
    <t>INDEX</t>
  </si>
  <si>
    <t>TRIED</t>
  </si>
  <si>
    <t>REPLACE AND SUM</t>
  </si>
  <si>
    <t xml:space="preserve">FIND ANG REPLACING 20 AND SUM ALL </t>
  </si>
  <si>
    <t>FIND MID</t>
  </si>
  <si>
    <t>FINGING MID AND START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</si>
</sst>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D1" zoomScale="90" zoomScaleNormal="100" workbookViewId="0">
      <pane ySplit="1" topLeftCell="A2" activePane="bottomLeft" state="frozen"/>
      <selection pane="bottomLeft" activeCell="A34" sqref="A3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SUMIF(Dataset!H2:H40,"&gt;20")</f>
        <v>1473.0000000000002</v>
      </c>
    </row>
  </sheetData>
  <conditionalFormatting sqref="A1:A1048576">
    <cfRule type="duplicateValues" dxfId="10" priority="8"/>
  </conditionalFormatting>
  <conditionalFormatting sqref="B1:B1048576">
    <cfRule type="duplicateValues" dxfId="9" priority="7"/>
  </conditionalFormatting>
  <conditionalFormatting sqref="G1:X40">
    <cfRule type="cellIs" dxfId="5" priority="1" operator="equal">
      <formula>0</formula>
    </cfRule>
    <cfRule type="cellIs" dxfId="4" priority="2" operator="equal">
      <formula>-1</formula>
    </cfRule>
    <cfRule type="expression" dxfId="3" priority="3">
      <formula>$G$2:$X$40=-1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 Dataset!A1:X40, 7, 0)</f>
        <v>2.7</v>
      </c>
      <c r="C6" s="11">
        <f>VLOOKUP(A6, Dataset!A1:X40,14, 0)</f>
        <v>7.6</v>
      </c>
      <c r="D6" s="11">
        <f>VLOOKUP(A6,Dataset!A1:X40,18,0)</f>
        <v>4.2</v>
      </c>
      <c r="E6" s="11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1">
        <f>VLOOKUP(A7, Dataset!A2:X41, 7, 0)</f>
        <v>2.7</v>
      </c>
      <c r="C7" s="11">
        <f>VLOOKUP(A7, Dataset!A2:X41,14, 0)</f>
        <v>7.6</v>
      </c>
      <c r="D7" s="11">
        <f>VLOOKUP(A7,Dataset!A2:X41,18,0)</f>
        <v>4.2</v>
      </c>
      <c r="E7" s="11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1">
        <f>VLOOKUP(A8, Dataset!A3:X42, 7, 0)</f>
        <v>3.6</v>
      </c>
      <c r="C8" s="11">
        <f>VLOOKUP(A8, Dataset!A3:X42,14, 0)</f>
        <v>11.1</v>
      </c>
      <c r="D8" s="11">
        <f>VLOOKUP(A8,Dataset!A3:X42,18,0)</f>
        <v>5.8</v>
      </c>
      <c r="E8" s="11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1">
        <f>VLOOKUP(A9, Dataset!A4:X43, 7, 0)</f>
        <v>4.9000000000000004</v>
      </c>
      <c r="C9" s="11">
        <f>VLOOKUP(A9, Dataset!A4:X43,14, 0)</f>
        <v>13.3</v>
      </c>
      <c r="D9" s="11">
        <f>VLOOKUP(A9,Dataset!A4:X43,18,0)</f>
        <v>8.1</v>
      </c>
      <c r="E9" s="11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1">
        <f>VLOOKUP(A10, Dataset!A5:X44, 7, 0)</f>
        <v>9.4</v>
      </c>
      <c r="C10" s="11">
        <f>VLOOKUP(A10, Dataset!A5:X44,14, 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1">
        <f>VLOOKUP(A11, Dataset!A6:X45, 7, 0)</f>
        <v>11.6</v>
      </c>
      <c r="C11" s="11">
        <f>VLOOKUP(A11, Dataset!A6:X45,14, 0)</f>
        <v>35.200000000000003</v>
      </c>
      <c r="D11" s="11">
        <f>VLOOKUP(A11,Dataset!A6:X45,18,0)</f>
        <v>21.3</v>
      </c>
      <c r="E11" s="11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1">
        <f>VLOOKUP(A12, Dataset!A7:X46, 7, 0)</f>
        <v>18.399999999999999</v>
      </c>
      <c r="C12" s="11">
        <f>VLOOKUP(A12, Dataset!A7:X46,14, 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1">
        <f>VLOOKUP(A13, Dataset!A8:X47, 7, 0)</f>
        <v>0</v>
      </c>
      <c r="C13" s="11">
        <f>VLOOKUP(A13, Dataset!A8:X47,14, 0)</f>
        <v>0</v>
      </c>
      <c r="D13" s="11">
        <f>VLOOKUP(A13,Dataset!A8:X47,18,0)</f>
        <v>0</v>
      </c>
      <c r="E13" s="11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1">
        <f>VLOOKUP(A14, Dataset!A9:X48, 7, 0)</f>
        <v>21.9</v>
      </c>
      <c r="C14" s="11">
        <f>VLOOKUP(A14, Dataset!A9:X48,14, 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1">
        <f>VLOOKUP(A15, Dataset!A10:X49, 7, 0)</f>
        <v>26.8</v>
      </c>
      <c r="C15" s="11">
        <f>VLOOKUP(A15, Dataset!A10:X49,14, 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1">
        <f>VLOOKUP(A16, Dataset!A11:X50, 7, 0)</f>
        <v>28.5</v>
      </c>
      <c r="C16" s="11">
        <f>VLOOKUP(A16, Dataset!A11:X50,14, 0)</f>
        <v>85.4</v>
      </c>
      <c r="D16" s="11">
        <f>VLOOKUP(A16,Dataset!A11:X50,18,0)</f>
        <v>52.3</v>
      </c>
      <c r="E16" s="11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1">
        <f>VLOOKUP(A17, Dataset!A12:X51, 7, 0)</f>
        <v>30.7</v>
      </c>
      <c r="C17" s="11">
        <f>VLOOKUP(A17, Dataset!A12:X51,14, 0)</f>
        <v>92.1</v>
      </c>
      <c r="D17" s="11">
        <f>VLOOKUP(A17,Dataset!A12:X51,18,0)</f>
        <v>57</v>
      </c>
      <c r="E17" s="11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1">
        <f>VLOOKUP(A18, Dataset!A13:X52, 7, 0)</f>
        <v>33.799999999999997</v>
      </c>
      <c r="C18" s="11">
        <f>VLOOKUP(A18, Dataset!A13:X52,14, 0)</f>
        <v>101.3</v>
      </c>
      <c r="D18" s="11">
        <f>VLOOKUP(A18,Dataset!A13:X52,18,0)</f>
        <v>61.4</v>
      </c>
      <c r="E18" s="11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1">
        <f>VLOOKUP(A19, Dataset!A14:X53, 7, 0)</f>
        <v>34.700000000000003</v>
      </c>
      <c r="C19" s="11">
        <f>VLOOKUP(A19, Dataset!A14:X53,14, 0)</f>
        <v>106.1</v>
      </c>
      <c r="D19" s="11">
        <f>VLOOKUP(A19,Dataset!A14:X53,18,0)</f>
        <v>63.6</v>
      </c>
      <c r="E19" s="11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1">
        <f>VLOOKUP(A20, Dataset!A15:X54, 7, 0)</f>
        <v>0</v>
      </c>
      <c r="C20" s="11">
        <f>VLOOKUP(A20, Dataset!A15:X54,14, 0)</f>
        <v>0</v>
      </c>
      <c r="D20" s="11">
        <f>VLOOKUP(A20,Dataset!A15:X54,18,0)</f>
        <v>0</v>
      </c>
      <c r="E20" s="11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1">
        <f>VLOOKUP(A21, Dataset!A16:X55, 7, 0)</f>
        <v>41.3</v>
      </c>
      <c r="C21" s="11">
        <f>VLOOKUP(A21, Dataset!A16:X55,14, 0)</f>
        <v>124.4</v>
      </c>
      <c r="D21" s="11">
        <f>VLOOKUP(A21,Dataset!A16:X55,18,0)</f>
        <v>75</v>
      </c>
      <c r="E21" s="11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1">
        <f>VLOOKUP(A22, Dataset!A17:X56, 7, 0)</f>
        <v>-1</v>
      </c>
      <c r="C22" s="11">
        <f>VLOOKUP(A22, Dataset!A17:X56,14, 0)</f>
        <v>-1</v>
      </c>
      <c r="D22" s="11">
        <f>VLOOKUP(A22,Dataset!A17:X56,18,0)</f>
        <v>-1</v>
      </c>
      <c r="E22" s="11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1">
        <f>VLOOKUP(A23, Dataset!A18:X57, 7, 0)</f>
        <v>45</v>
      </c>
      <c r="C23" s="11">
        <f>VLOOKUP(A23, Dataset!A18:X57,14, 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1">
        <f>VLOOKUP(A24, Dataset!A19:X58, 7, 0)</f>
        <v>-1</v>
      </c>
      <c r="C24" s="11">
        <f>VLOOKUP(A24, Dataset!A19:X58,14, 0)</f>
        <v>-1</v>
      </c>
      <c r="D24" s="11">
        <f>VLOOKUP(A24,Dataset!A19:X58,18,0)</f>
        <v>-1</v>
      </c>
      <c r="E24" s="11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1">
        <f>VLOOKUP(A25, Dataset!A20:X59, 7, 0)</f>
        <v>43.3</v>
      </c>
      <c r="C25" s="11">
        <f>VLOOKUP(A25, Dataset!A20:X59,14, 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1">
        <f>VLOOKUP(A26, Dataset!A21:X60, 7, 0)</f>
        <v>49.1</v>
      </c>
      <c r="C26" s="11">
        <f>VLOOKUP(A26, Dataset!A21:X60,14, 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1">
        <f>VLOOKUP(A27, Dataset!A22:X61, 7, 0)</f>
        <v>51.8</v>
      </c>
      <c r="C27" s="11">
        <f>VLOOKUP(A27, Dataset!A22:X61,14, 0)</f>
        <v>156.4</v>
      </c>
      <c r="D27" s="11">
        <f>VLOOKUP(A27,Dataset!A22:X61,18,0)</f>
        <v>93.1</v>
      </c>
      <c r="E27" s="11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182</v>
      </c>
    </row>
    <row r="6" spans="1:10" ht="18" x14ac:dyDescent="0.35">
      <c r="A6" s="42" t="s">
        <v>152</v>
      </c>
      <c r="B6" s="39" t="s">
        <v>183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 t="str">
        <f>_xlfn.TEXTBEFORE(A16, "-")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A16)+1)+1, FIND("-", A16, FIND("-", A16, FIND("-", A16)+1)+1) - FIND("-", A16, FIND("-", A16)+1) - 1)</f>
        <v>0</v>
      </c>
      <c r="E16" s="1" t="str">
        <f>MID(A16, FIND("-", A16, FIND("-", A16, FIND("-", A16)+1)+1)+1, FIND("-", A16, FIND("-", A16, FIND("-", A16, FIND("-", A16)+1)+1)+1) - FIND("-", A16, FIND("-", A16, FIND("-", A16)+1)+1) - 1)</f>
        <v>Sunday</v>
      </c>
      <c r="F16" s="11" t="str">
        <f>RIGHT(A16, LEN(A16) - FIND("-", A16, FIND("-", A16, FIND("-", A16, FIND("-", A16)+1)+1)+1))</f>
        <v>24</v>
      </c>
    </row>
    <row r="17" spans="1:6" x14ac:dyDescent="0.3">
      <c r="A17" s="7" t="s">
        <v>121</v>
      </c>
      <c r="B17" s="11" t="str">
        <f t="shared" ref="B17:B54" si="0">_xlfn.TEXTBEFORE(A17, "-")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A17)+1)+1, FIND("-", A17, FIND("-", A17, FIND("-", A17)+1)+1) - FIND("-", A17, FIND("-", A17)+1) - 1)</f>
        <v>0</v>
      </c>
      <c r="E17" s="1" t="str">
        <f t="shared" ref="E17:E54" si="3">MID(A17, FIND("-", A17, FIND("-", A17, FIND("-", A17)+1)+1)+1, FIND("-", A17, FIND("-", A17, FIND("-", A17, FIND("-", A17)+1)+1)+1) - FIND("-", A17, FIND("-", A17, FIND("-", A17)+1)+1) - 1)</f>
        <v>Sunday</v>
      </c>
      <c r="F17" s="11" t="str">
        <f t="shared" ref="F17:F54" si="4">RIGHT(A17, LEN(A17) - FIND("-", A17, FIND("-", A17, FIND("-", A17, FIND("-", A17)+1)+1)+1))</f>
        <v>24</v>
      </c>
    </row>
    <row r="18" spans="1:6" x14ac:dyDescent="0.3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165</v>
      </c>
    </row>
    <row r="2" spans="1:3" ht="18" x14ac:dyDescent="0.35">
      <c r="B2" s="39" t="s">
        <v>177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152</v>
      </c>
      <c r="B7" s="1" t="s">
        <v>181</v>
      </c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>
        <v>20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>
        <v>20</v>
      </c>
    </row>
    <row r="22" spans="1:3" ht="14.4" x14ac:dyDescent="0.3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173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/>
      <c r="C4" s="2" t="s">
        <v>178</v>
      </c>
    </row>
    <row r="5" spans="1:14" ht="18" x14ac:dyDescent="0.35">
      <c r="A5" s="42" t="s">
        <v>152</v>
      </c>
      <c r="B5" s="1"/>
      <c r="C5" s="2" t="s">
        <v>179</v>
      </c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166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 t="e">
        <f>IF(AND(A23&lt;&gt;"",B23&lt;&gt;""), INDEX(A9:J18, MATCH(A23, M9:N18, 0), MATCH(B23, M9:N18, 0)), "")</f>
        <v>#N/A</v>
      </c>
    </row>
    <row r="24" spans="1:14" ht="14.4" x14ac:dyDescent="0.3">
      <c r="A24" s="7">
        <v>10100</v>
      </c>
      <c r="B24" s="11">
        <v>10104</v>
      </c>
      <c r="C24" s="43" t="e">
        <f>IF(AND(A24&lt;&gt;"",B24&lt;&gt;""), INDEX(A10:J19, MATCH(A24, M10:N19, 0), MATCH(B24, M10:N19, 0)), "")</f>
        <v>#N/A</v>
      </c>
    </row>
    <row r="25" spans="1:14" ht="14.4" x14ac:dyDescent="0.3">
      <c r="A25" s="7">
        <v>10108</v>
      </c>
      <c r="B25" s="11">
        <v>10102</v>
      </c>
      <c r="C25" s="43" t="e">
        <f t="shared" ref="C25:C35" si="0">IF(AND(A25&lt;&gt;"",B25&lt;&gt;""), INDEX(A11:J20, MATCH(A25, M11:N20, 0), MATCH(B25, M11:N20, 0)), "")</f>
        <v>#N/A</v>
      </c>
    </row>
    <row r="26" spans="1:14" ht="14.4" x14ac:dyDescent="0.3">
      <c r="A26" s="7">
        <v>10100</v>
      </c>
      <c r="B26" s="11">
        <v>10106</v>
      </c>
      <c r="C26" s="43" t="e">
        <f t="shared" si="0"/>
        <v>#N/A</v>
      </c>
    </row>
    <row r="27" spans="1:14" ht="14.4" x14ac:dyDescent="0.3">
      <c r="A27" s="7">
        <v>10108</v>
      </c>
      <c r="B27" s="11">
        <v>10110</v>
      </c>
      <c r="C27" s="43" t="e">
        <f t="shared" si="0"/>
        <v>#N/A</v>
      </c>
    </row>
    <row r="28" spans="1:14" ht="14.4" x14ac:dyDescent="0.3">
      <c r="A28" s="7">
        <v>10102</v>
      </c>
      <c r="B28" s="11">
        <v>10104</v>
      </c>
      <c r="C28" s="43" t="e">
        <f t="shared" si="0"/>
        <v>#N/A</v>
      </c>
    </row>
    <row r="29" spans="1:14" ht="14.4" x14ac:dyDescent="0.3">
      <c r="A29" s="7">
        <v>10106</v>
      </c>
      <c r="B29" s="11">
        <v>10108</v>
      </c>
      <c r="C29" s="43" t="e">
        <f t="shared" si="0"/>
        <v>#N/A</v>
      </c>
    </row>
    <row r="30" spans="1:14" ht="14.4" x14ac:dyDescent="0.3">
      <c r="A30" s="7">
        <v>10102</v>
      </c>
      <c r="B30" s="11">
        <v>10106</v>
      </c>
      <c r="C30" s="43" t="e">
        <f t="shared" si="0"/>
        <v>#N/A</v>
      </c>
    </row>
    <row r="31" spans="1:14" ht="14.4" x14ac:dyDescent="0.3">
      <c r="A31" s="7">
        <v>10110</v>
      </c>
      <c r="B31" s="11">
        <v>10114</v>
      </c>
      <c r="C31" s="43" t="e">
        <f t="shared" si="0"/>
        <v>#N/A</v>
      </c>
    </row>
    <row r="32" spans="1:14" ht="14.4" x14ac:dyDescent="0.3">
      <c r="A32" s="7">
        <v>10104</v>
      </c>
      <c r="B32" s="11">
        <v>10106</v>
      </c>
      <c r="C32" s="43" t="e">
        <f t="shared" si="0"/>
        <v>#N/A</v>
      </c>
    </row>
    <row r="33" spans="1:3" ht="14.4" x14ac:dyDescent="0.3">
      <c r="A33" s="7">
        <v>10110</v>
      </c>
      <c r="B33" s="11">
        <v>10112</v>
      </c>
      <c r="C33" s="43" t="e">
        <f t="shared" si="0"/>
        <v>#N/A</v>
      </c>
    </row>
    <row r="34" spans="1:3" ht="14.4" x14ac:dyDescent="0.3">
      <c r="A34" s="7">
        <v>10100</v>
      </c>
      <c r="B34" s="11">
        <v>10114</v>
      </c>
      <c r="C34" s="43" t="e">
        <f t="shared" si="0"/>
        <v>#N/A</v>
      </c>
    </row>
    <row r="35" spans="1:3" ht="14.4" x14ac:dyDescent="0.3">
      <c r="A35" s="9">
        <v>10112</v>
      </c>
      <c r="B35" s="12">
        <v>10116</v>
      </c>
      <c r="C35" s="43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Ajith kumar S</cp:lastModifiedBy>
  <dcterms:created xsi:type="dcterms:W3CDTF">2015-02-10T17:33:11Z</dcterms:created>
  <dcterms:modified xsi:type="dcterms:W3CDTF">2024-10-22T11:37:00Z</dcterms:modified>
</cp:coreProperties>
</file>